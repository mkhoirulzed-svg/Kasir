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k_Toko_Alkes" sheetId="1" r:id="rId5"/>
  </sheets>
  <definedNames/>
  <calcPr/>
</workbook>
</file>

<file path=xl/sharedStrings.xml><?xml version="1.0" encoding="utf-8"?>
<sst xmlns="http://schemas.openxmlformats.org/spreadsheetml/2006/main" count="212" uniqueCount="141">
  <si>
    <t>nama</t>
  </si>
  <si>
    <t>harga</t>
  </si>
  <si>
    <t>kode</t>
  </si>
  <si>
    <t>stok</t>
  </si>
  <si>
    <t>merk</t>
  </si>
  <si>
    <t>NAMA</t>
  </si>
  <si>
    <t>HARGA BELI</t>
  </si>
  <si>
    <t>HAGA JUAL TOTAL</t>
  </si>
  <si>
    <t>Thermoone</t>
  </si>
  <si>
    <t>Termometer digital Alpha 1</t>
  </si>
  <si>
    <t xml:space="preserve"> Sinoheart</t>
  </si>
  <si>
    <t>cek gula darah</t>
  </si>
  <si>
    <t>onemed</t>
  </si>
  <si>
    <t xml:space="preserve">Alcohol swab </t>
  </si>
  <si>
    <t>Blood lancets</t>
  </si>
  <si>
    <t>omicron</t>
  </si>
  <si>
    <t>Termometer tembak</t>
  </si>
  <si>
    <t>Set Rawat Luka</t>
  </si>
  <si>
    <t xml:space="preserve">Safegloves </t>
  </si>
  <si>
    <t>Sarung Tangan M</t>
  </si>
  <si>
    <t>Kotak P3K</t>
  </si>
  <si>
    <t>​Ultrafix 5x1cm</t>
  </si>
  <si>
    <t>Tensimeter digital</t>
  </si>
  <si>
    <t>​Plesterin WP</t>
  </si>
  <si>
    <t>GP care</t>
  </si>
  <si>
    <t xml:space="preserve">Termometer digital </t>
  </si>
  <si>
    <t>LSI</t>
  </si>
  <si>
    <t>Alkohol 70% 100ml</t>
  </si>
  <si>
    <t>Onemed</t>
  </si>
  <si>
    <t>Povidone Iodine 30ml</t>
  </si>
  <si>
    <t>Test Pack</t>
  </si>
  <si>
    <t>GEA</t>
  </si>
  <si>
    <t>​I.V. Catheter no 22</t>
  </si>
  <si>
    <t>A22</t>
  </si>
  <si>
    <t xml:space="preserve">Pulse Oximeter </t>
  </si>
  <si>
    <t xml:space="preserve">​Mesin Nebulizer </t>
  </si>
  <si>
    <t>Celana sunat</t>
  </si>
  <si>
    <t>​Tensimeter pergelangan</t>
  </si>
  <si>
    <t>Narita</t>
  </si>
  <si>
    <t>Kasa hidrofik 16 x 16</t>
  </si>
  <si>
    <t>NGT 18Fr</t>
  </si>
  <si>
    <t>Foley Catheter 18Fr</t>
  </si>
  <si>
    <t>Nasal Dewasa</t>
  </si>
  <si>
    <t>​Syringe 50cc NT</t>
  </si>
  <si>
    <t>Healthcare</t>
  </si>
  <si>
    <t>​I.V. Catheter No 22G</t>
  </si>
  <si>
    <t>​I.V. Catheter No 20G</t>
  </si>
  <si>
    <t>Onehealth</t>
  </si>
  <si>
    <t>Infus set</t>
  </si>
  <si>
    <t>Avico</t>
  </si>
  <si>
    <t>​Alcohol Pads</t>
  </si>
  <si>
    <t>Plesterin</t>
  </si>
  <si>
    <t>Plesterin bulat soft</t>
  </si>
  <si>
    <t>Syringe 5 ml</t>
  </si>
  <si>
    <t>Syringe 3 ml</t>
  </si>
  <si>
    <t>Syringe 10 ml</t>
  </si>
  <si>
    <t>Doble spike</t>
  </si>
  <si>
    <t>urin bag</t>
  </si>
  <si>
    <t>Terumo</t>
  </si>
  <si>
    <t>Needle no 24</t>
  </si>
  <si>
    <t>Stetoskop</t>
  </si>
  <si>
    <t>Tourniquet</t>
  </si>
  <si>
    <t>pispot</t>
  </si>
  <si>
    <t>Easytouch</t>
  </si>
  <si>
    <t>strip chole 10</t>
  </si>
  <si>
    <t>alat penggerus</t>
  </si>
  <si>
    <t>T-Towel</t>
  </si>
  <si>
    <t>Wash gloves</t>
  </si>
  <si>
    <t>Omron</t>
  </si>
  <si>
    <t>alkohol 70% 300ml</t>
  </si>
  <si>
    <t>Omicron</t>
  </si>
  <si>
    <t>sinoheart</t>
  </si>
  <si>
    <t>Strip glucosa 25</t>
  </si>
  <si>
    <t>kasur decubitus</t>
  </si>
  <si>
    <t>Alat stik 3 in 1</t>
  </si>
  <si>
    <t>Strip Asam urat 25</t>
  </si>
  <si>
    <t>Tensimeter manual</t>
  </si>
  <si>
    <t>Syringe 50cc LT</t>
  </si>
  <si>
    <t>Tensi + stetoskop</t>
  </si>
  <si>
    <t>GlowMed</t>
  </si>
  <si>
    <t>Arm Sling</t>
  </si>
  <si>
    <t>Wing needle</t>
  </si>
  <si>
    <t>Chilli plast</t>
  </si>
  <si>
    <t>Plester coklat</t>
  </si>
  <si>
    <t>Tensimeter BW750</t>
  </si>
  <si>
    <t>Gel Jelly lubricant</t>
  </si>
  <si>
    <t>Oximeter saturasi</t>
  </si>
  <si>
    <t>iTrust BP 121</t>
  </si>
  <si>
    <t>Oximeter saturasi anak</t>
  </si>
  <si>
    <t>onecleane</t>
  </si>
  <si>
    <t>wash gloves 4</t>
  </si>
  <si>
    <t>LK88</t>
  </si>
  <si>
    <t>Oximeter</t>
  </si>
  <si>
    <t>GP 100</t>
  </si>
  <si>
    <t>Thermogun</t>
  </si>
  <si>
    <t>Sinocare BA801</t>
  </si>
  <si>
    <t>Sinocare 50</t>
  </si>
  <si>
    <t>Alat Cek Gula Darah</t>
  </si>
  <si>
    <t>Sinocare BSX 516</t>
  </si>
  <si>
    <t>Saturasi Oksigen</t>
  </si>
  <si>
    <t>Sarung Tangan S</t>
  </si>
  <si>
    <t>Sarung Tangan L</t>
  </si>
  <si>
    <t>Nitril</t>
  </si>
  <si>
    <t>-</t>
  </si>
  <si>
    <t>Nesco</t>
  </si>
  <si>
    <t>GCU 3 in 1</t>
  </si>
  <si>
    <t>Strip Glucosa 25</t>
  </si>
  <si>
    <t>Strip Asam Urat 25</t>
  </si>
  <si>
    <t>Strip Chole 10</t>
  </si>
  <si>
    <t>General care</t>
  </si>
  <si>
    <t>Reflex hummer</t>
  </si>
  <si>
    <t>Puremed</t>
  </si>
  <si>
    <t>Penlight</t>
  </si>
  <si>
    <t>Nurse cap</t>
  </si>
  <si>
    <t>Headcup 10</t>
  </si>
  <si>
    <t>CLMK</t>
  </si>
  <si>
    <t>Apron 4</t>
  </si>
  <si>
    <t>Apron</t>
  </si>
  <si>
    <t>ALKINDO</t>
  </si>
  <si>
    <t>Masker Anak Putih 50</t>
  </si>
  <si>
    <t>Masker Anak Hitam 50</t>
  </si>
  <si>
    <t>Face Mask</t>
  </si>
  <si>
    <t>Duckbil Hijab Hitam 50</t>
  </si>
  <si>
    <t>Duckbil Hijab Putih 50</t>
  </si>
  <si>
    <t>Mouson</t>
  </si>
  <si>
    <t>Earloop Putih</t>
  </si>
  <si>
    <t>Earloop Mix Warna</t>
  </si>
  <si>
    <t>Kompres Panas Dingin</t>
  </si>
  <si>
    <t>Perlak 10</t>
  </si>
  <si>
    <t>AlkesPky</t>
  </si>
  <si>
    <t>Tas Nursing/Medical kit Pink</t>
  </si>
  <si>
    <t>Tas Nursing/Medical kit Hitam</t>
  </si>
  <si>
    <t xml:space="preserve">Tas Nursing/Medical kit Merah </t>
  </si>
  <si>
    <t>Tas Nursing/Medical kit Abu</t>
  </si>
  <si>
    <t>Tas Nursing/Medical kit Biru</t>
  </si>
  <si>
    <t>Baterai AA</t>
  </si>
  <si>
    <t>Baterai AAA</t>
  </si>
  <si>
    <t>Thermometer digital</t>
  </si>
  <si>
    <t>Saturasi A2</t>
  </si>
  <si>
    <t>Saturasi rechargable</t>
  </si>
  <si>
    <t>Termometer digital Alpha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</si>
</sst>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4" numFmtId="0" xfId="0" applyFont="1"/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43"/>
    <col customWidth="1" min="2" max="2" width="10.0"/>
    <col customWidth="1" min="3" max="3" width="14.43"/>
    <col customWidth="1" min="4" max="4" width="7.0"/>
    <col customWidth="1" min="5" max="5" width="15.0"/>
    <col customWidth="1" min="6" max="6" width="25.29"/>
    <col customWidth="1" min="7" max="7" width="11.43"/>
    <col customWidth="1" min="8" max="8" width="19.71"/>
    <col customWidth="1" min="9" max="9" width="12.0"/>
    <col customWidth="1" min="10" max="10" width="20.0"/>
    <col customWidth="1" min="11" max="11" width="18.0"/>
    <col customWidth="1" min="12" max="12" width="25.0"/>
    <col customWidth="1" min="13" max="28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</row>
    <row r="2">
      <c r="A2" s="3" t="str">
        <f t="shared" ref="A2:A107" si="1">F2 &amp; " - " &amp; E2
</f>
        <v>Termometer digital Alpha 1 - Thermoone</v>
      </c>
      <c r="B2" s="4">
        <v>20000.0</v>
      </c>
      <c r="C2" s="3" t="str">
        <f t="shared" ref="C2:C107" si="2">UPPER(LEFT(F2,4) &amp; "-" &amp; LEFT(E2,2) &amp; "-" &amp; TEXT(ROW(A2)-1,"000"))
</f>
        <v>TERM-TH-001</v>
      </c>
      <c r="D2" s="4">
        <v>10.0</v>
      </c>
      <c r="E2" s="4" t="s">
        <v>8</v>
      </c>
      <c r="F2" s="5" t="s">
        <v>9</v>
      </c>
      <c r="G2" s="6">
        <v>18000.0</v>
      </c>
    </row>
    <row r="3">
      <c r="A3" s="3" t="str">
        <f t="shared" si="1"/>
        <v>cek gula darah -  Sinoheart</v>
      </c>
      <c r="B3" s="4">
        <v>50000.0</v>
      </c>
      <c r="C3" s="3" t="str">
        <f t="shared" si="2"/>
        <v>CEK - S-002</v>
      </c>
      <c r="D3" s="4">
        <v>10.0</v>
      </c>
      <c r="E3" s="4" t="s">
        <v>10</v>
      </c>
      <c r="F3" s="5" t="s">
        <v>11</v>
      </c>
      <c r="G3" s="6">
        <v>46000.0</v>
      </c>
    </row>
    <row r="4">
      <c r="A4" s="3" t="str">
        <f t="shared" si="1"/>
        <v>Alcohol swab  - onemed</v>
      </c>
      <c r="B4" s="4">
        <v>15000.0</v>
      </c>
      <c r="C4" s="3" t="str">
        <f t="shared" si="2"/>
        <v>ALCO-ON-003</v>
      </c>
      <c r="D4" s="4">
        <v>10.0</v>
      </c>
      <c r="E4" s="4" t="s">
        <v>12</v>
      </c>
      <c r="F4" s="4" t="s">
        <v>13</v>
      </c>
      <c r="G4" s="7">
        <v>11000.0</v>
      </c>
    </row>
    <row r="5">
      <c r="A5" s="3" t="str">
        <f t="shared" si="1"/>
        <v>Blood lancets - onemed</v>
      </c>
      <c r="B5" s="4">
        <v>15000.0</v>
      </c>
      <c r="C5" s="3" t="str">
        <f t="shared" si="2"/>
        <v>BLOO-ON-004</v>
      </c>
      <c r="D5" s="4">
        <v>10.0</v>
      </c>
      <c r="E5" s="4" t="s">
        <v>12</v>
      </c>
      <c r="F5" s="4" t="s">
        <v>14</v>
      </c>
      <c r="G5" s="7">
        <v>11000.0</v>
      </c>
    </row>
    <row r="6">
      <c r="A6" s="3" t="str">
        <f t="shared" si="1"/>
        <v>Termometer tembak - omicron</v>
      </c>
      <c r="B6" s="4">
        <v>55000.0</v>
      </c>
      <c r="C6" s="3" t="str">
        <f t="shared" si="2"/>
        <v>TERM-OM-005</v>
      </c>
      <c r="D6" s="4">
        <v>10.0</v>
      </c>
      <c r="E6" s="4" t="s">
        <v>15</v>
      </c>
      <c r="F6" s="4" t="s">
        <v>16</v>
      </c>
      <c r="G6" s="7">
        <v>40000.0</v>
      </c>
    </row>
    <row r="7">
      <c r="A7" s="3" t="str">
        <f t="shared" si="1"/>
        <v>Set Rawat Luka - onemed</v>
      </c>
      <c r="B7" s="4">
        <v>17000.0</v>
      </c>
      <c r="C7" s="3" t="str">
        <f t="shared" si="2"/>
        <v>SET -ON-006</v>
      </c>
      <c r="D7" s="4">
        <v>10.0</v>
      </c>
      <c r="E7" s="4" t="s">
        <v>12</v>
      </c>
      <c r="F7" s="4" t="s">
        <v>17</v>
      </c>
      <c r="G7" s="8">
        <v>13500.0</v>
      </c>
    </row>
    <row r="8">
      <c r="A8" s="3" t="str">
        <f t="shared" si="1"/>
        <v>Sarung Tangan M - Safegloves </v>
      </c>
      <c r="B8" s="4">
        <v>60000.0</v>
      </c>
      <c r="C8" s="3" t="str">
        <f t="shared" si="2"/>
        <v>SARU-SA-007</v>
      </c>
      <c r="D8" s="4">
        <v>10.0</v>
      </c>
      <c r="E8" s="4" t="s">
        <v>18</v>
      </c>
      <c r="F8" s="4" t="s">
        <v>19</v>
      </c>
      <c r="G8" s="7">
        <v>45000.0</v>
      </c>
    </row>
    <row r="9">
      <c r="A9" s="3" t="str">
        <f t="shared" si="1"/>
        <v>Kotak P3K - onemed</v>
      </c>
      <c r="B9" s="4">
        <v>35000.0</v>
      </c>
      <c r="C9" s="3" t="str">
        <f t="shared" si="2"/>
        <v>KOTA-ON-008</v>
      </c>
      <c r="D9" s="4">
        <v>10.0</v>
      </c>
      <c r="E9" s="4" t="s">
        <v>12</v>
      </c>
      <c r="F9" s="4" t="s">
        <v>20</v>
      </c>
      <c r="G9" s="9">
        <v>28000.0</v>
      </c>
    </row>
    <row r="10">
      <c r="A10" s="3" t="str">
        <f t="shared" si="1"/>
        <v>​Ultrafix 5x1cm - onemed</v>
      </c>
      <c r="B10" s="4">
        <v>5000.0</v>
      </c>
      <c r="C10" s="3" t="str">
        <f t="shared" si="2"/>
        <v>​ULT-ON-009</v>
      </c>
      <c r="D10" s="4">
        <v>10.0</v>
      </c>
      <c r="E10" s="4" t="s">
        <v>12</v>
      </c>
      <c r="F10" s="4" t="s">
        <v>21</v>
      </c>
      <c r="G10" s="9">
        <v>3500.0</v>
      </c>
    </row>
    <row r="11">
      <c r="A11" s="3" t="str">
        <f t="shared" si="1"/>
        <v>Tensimeter digital - </v>
      </c>
      <c r="B11" s="4">
        <v>70000.0</v>
      </c>
      <c r="C11" s="3" t="str">
        <f t="shared" si="2"/>
        <v>TENS--010</v>
      </c>
      <c r="D11" s="4">
        <v>10.0</v>
      </c>
      <c r="E11" s="4"/>
      <c r="F11" s="4" t="s">
        <v>22</v>
      </c>
      <c r="G11" s="7">
        <v>55000.0</v>
      </c>
    </row>
    <row r="12">
      <c r="A12" s="3" t="str">
        <f t="shared" si="1"/>
        <v>​Plesterin WP - onemed</v>
      </c>
      <c r="B12" s="4">
        <v>1000.0</v>
      </c>
      <c r="C12" s="3" t="str">
        <f t="shared" si="2"/>
        <v>​PLE-ON-011</v>
      </c>
      <c r="D12" s="4">
        <v>10.0</v>
      </c>
      <c r="E12" s="4" t="s">
        <v>12</v>
      </c>
      <c r="F12" s="4" t="s">
        <v>23</v>
      </c>
      <c r="G12" s="9">
        <v>650.0</v>
      </c>
    </row>
    <row r="13">
      <c r="A13" s="3" t="str">
        <f t="shared" si="1"/>
        <v>Termometer digital  - GP care</v>
      </c>
      <c r="B13" s="4">
        <v>20000.0</v>
      </c>
      <c r="C13" s="3" t="str">
        <f t="shared" si="2"/>
        <v>TERM-GP-012</v>
      </c>
      <c r="D13" s="4">
        <v>10.0</v>
      </c>
      <c r="E13" s="4" t="s">
        <v>24</v>
      </c>
      <c r="F13" s="5" t="s">
        <v>25</v>
      </c>
      <c r="G13" s="9">
        <v>16000.0</v>
      </c>
    </row>
    <row r="14">
      <c r="A14" s="3" t="str">
        <f t="shared" si="1"/>
        <v>Alkohol 70% 100ml - LSI</v>
      </c>
      <c r="B14" s="4">
        <v>10000.0</v>
      </c>
      <c r="C14" s="3" t="str">
        <f t="shared" si="2"/>
        <v>ALKO-LS-013</v>
      </c>
      <c r="D14" s="4">
        <v>10.0</v>
      </c>
      <c r="E14" s="4" t="s">
        <v>26</v>
      </c>
      <c r="F14" s="4" t="s">
        <v>27</v>
      </c>
      <c r="G14" s="9">
        <v>4500.0</v>
      </c>
    </row>
    <row r="15">
      <c r="A15" s="3" t="str">
        <f t="shared" si="1"/>
        <v>Povidone Iodine 30ml - Onemed</v>
      </c>
      <c r="B15" s="4">
        <v>10000.0</v>
      </c>
      <c r="C15" s="3" t="str">
        <f t="shared" si="2"/>
        <v>POVI-ON-014</v>
      </c>
      <c r="D15" s="4">
        <v>10.0</v>
      </c>
      <c r="E15" s="4" t="s">
        <v>28</v>
      </c>
      <c r="F15" s="4" t="s">
        <v>29</v>
      </c>
      <c r="G15" s="9">
        <v>7500.0</v>
      </c>
    </row>
    <row r="16">
      <c r="A16" s="3" t="str">
        <f t="shared" si="1"/>
        <v>Test Pack - Onemed</v>
      </c>
      <c r="B16" s="4">
        <v>5000.0</v>
      </c>
      <c r="C16" s="3" t="str">
        <f t="shared" si="2"/>
        <v>TEST-ON-015</v>
      </c>
      <c r="D16" s="4">
        <v>10.0</v>
      </c>
      <c r="E16" s="4" t="s">
        <v>28</v>
      </c>
      <c r="F16" s="4" t="s">
        <v>30</v>
      </c>
      <c r="G16" s="9">
        <v>3000.0</v>
      </c>
    </row>
    <row r="17">
      <c r="A17" s="3" t="str">
        <f t="shared" si="1"/>
        <v>​I.V. Catheter no 22 - GEA</v>
      </c>
      <c r="B17" s="4">
        <v>8500.0</v>
      </c>
      <c r="C17" s="3" t="str">
        <f t="shared" si="2"/>
        <v>​I.V-GE-016</v>
      </c>
      <c r="D17" s="4">
        <v>10.0</v>
      </c>
      <c r="E17" s="4" t="s">
        <v>31</v>
      </c>
      <c r="F17" s="10" t="s">
        <v>32</v>
      </c>
      <c r="G17" s="9">
        <v>3600.0</v>
      </c>
    </row>
    <row r="18">
      <c r="A18" s="3" t="str">
        <f t="shared" si="1"/>
        <v>Pulse Oximeter  - A22</v>
      </c>
      <c r="B18" s="4">
        <v>60000.0</v>
      </c>
      <c r="C18" s="3" t="str">
        <f t="shared" si="2"/>
        <v>PULS-A2-017</v>
      </c>
      <c r="D18" s="4">
        <v>10.0</v>
      </c>
      <c r="E18" s="4" t="s">
        <v>33</v>
      </c>
      <c r="F18" s="4" t="s">
        <v>34</v>
      </c>
      <c r="G18" s="9">
        <v>50000.0</v>
      </c>
    </row>
    <row r="19">
      <c r="A19" s="3" t="str">
        <f t="shared" si="1"/>
        <v>​Mesin Nebulizer  - omicron</v>
      </c>
      <c r="B19" s="4">
        <v>80000.0</v>
      </c>
      <c r="C19" s="3" t="str">
        <f t="shared" si="2"/>
        <v>​MES-OM-018</v>
      </c>
      <c r="D19" s="4">
        <v>10.0</v>
      </c>
      <c r="E19" s="4" t="s">
        <v>15</v>
      </c>
      <c r="F19" s="4" t="s">
        <v>35</v>
      </c>
      <c r="G19" s="7">
        <v>40000.0</v>
      </c>
    </row>
    <row r="20">
      <c r="A20" s="3" t="str">
        <f t="shared" si="1"/>
        <v>Celana sunat - </v>
      </c>
      <c r="B20" s="4">
        <v>15000.0</v>
      </c>
      <c r="C20" s="3" t="str">
        <f t="shared" si="2"/>
        <v>CELA--019</v>
      </c>
      <c r="D20" s="4">
        <v>10.0</v>
      </c>
      <c r="F20" s="4" t="s">
        <v>36</v>
      </c>
      <c r="G20" s="7">
        <v>10000.0</v>
      </c>
    </row>
    <row r="21" ht="15.75" customHeight="1">
      <c r="A21" s="3" t="str">
        <f t="shared" si="1"/>
        <v>​Tensimeter pergelangan - omicron</v>
      </c>
      <c r="B21" s="4">
        <v>120000.0</v>
      </c>
      <c r="C21" s="3" t="str">
        <f t="shared" si="2"/>
        <v>​TEN-OM-020</v>
      </c>
      <c r="D21" s="4">
        <v>10.0</v>
      </c>
      <c r="E21" s="4" t="s">
        <v>15</v>
      </c>
      <c r="F21" s="4" t="s">
        <v>37</v>
      </c>
      <c r="G21" s="9">
        <v>110000.0</v>
      </c>
    </row>
    <row r="22" ht="15.75" customHeight="1">
      <c r="A22" s="3" t="str">
        <f t="shared" si="1"/>
        <v>Kasa hidrofik 16 x 16 - Narita</v>
      </c>
      <c r="B22" s="4">
        <v>5000.0</v>
      </c>
      <c r="C22" s="3" t="str">
        <f t="shared" si="2"/>
        <v>KASA-NA-021</v>
      </c>
      <c r="D22" s="4">
        <v>10.0</v>
      </c>
      <c r="E22" s="4" t="s">
        <v>38</v>
      </c>
      <c r="F22" s="4" t="s">
        <v>39</v>
      </c>
      <c r="G22" s="9">
        <v>3650.0</v>
      </c>
    </row>
    <row r="23" ht="15.75" customHeight="1">
      <c r="A23" s="3" t="str">
        <f t="shared" si="1"/>
        <v>NGT 18Fr - Onemed</v>
      </c>
      <c r="B23" s="4">
        <v>15000.0</v>
      </c>
      <c r="C23" s="3" t="str">
        <f t="shared" si="2"/>
        <v>NGT -ON-022</v>
      </c>
      <c r="D23" s="4">
        <v>10.0</v>
      </c>
      <c r="E23" s="4" t="s">
        <v>28</v>
      </c>
      <c r="F23" s="4" t="s">
        <v>40</v>
      </c>
      <c r="G23" s="9">
        <v>11000.0</v>
      </c>
    </row>
    <row r="24" ht="15.75" customHeight="1">
      <c r="A24" s="3" t="str">
        <f t="shared" si="1"/>
        <v>Foley Catheter 18Fr - GEA</v>
      </c>
      <c r="B24" s="4">
        <v>15000.0</v>
      </c>
      <c r="C24" s="3" t="str">
        <f t="shared" si="2"/>
        <v>FOLE-GE-023</v>
      </c>
      <c r="D24" s="4">
        <v>10.0</v>
      </c>
      <c r="E24" s="4" t="s">
        <v>31</v>
      </c>
      <c r="F24" s="4" t="s">
        <v>41</v>
      </c>
      <c r="G24" s="9">
        <v>10000.0</v>
      </c>
    </row>
    <row r="25" ht="15.75" customHeight="1">
      <c r="A25" s="3" t="str">
        <f t="shared" si="1"/>
        <v>Nasal Dewasa - GEA</v>
      </c>
      <c r="B25" s="4">
        <v>15000.0</v>
      </c>
      <c r="C25" s="3" t="str">
        <f t="shared" si="2"/>
        <v>NASA-GE-024</v>
      </c>
      <c r="D25" s="4">
        <v>10.0</v>
      </c>
      <c r="E25" s="4" t="s">
        <v>31</v>
      </c>
      <c r="F25" s="4" t="s">
        <v>42</v>
      </c>
      <c r="G25" s="9">
        <v>7000.0</v>
      </c>
    </row>
    <row r="26" ht="15.75" customHeight="1">
      <c r="A26" s="3" t="str">
        <f t="shared" si="1"/>
        <v>​Syringe 50cc NT - Onemed</v>
      </c>
      <c r="B26" s="4">
        <v>15000.0</v>
      </c>
      <c r="C26" s="3" t="str">
        <f t="shared" si="2"/>
        <v>​SYR-ON-025</v>
      </c>
      <c r="D26" s="4">
        <v>10.0</v>
      </c>
      <c r="E26" s="4" t="s">
        <v>28</v>
      </c>
      <c r="F26" s="4" t="s">
        <v>43</v>
      </c>
      <c r="G26" s="9">
        <v>6000.0</v>
      </c>
    </row>
    <row r="27" ht="15.75" customHeight="1">
      <c r="A27" s="3" t="str">
        <f t="shared" si="1"/>
        <v>​I.V. Catheter No 22G - Healthcare</v>
      </c>
      <c r="B27" s="4">
        <v>8500.0</v>
      </c>
      <c r="C27" s="3" t="str">
        <f t="shared" si="2"/>
        <v>​I.V-HE-026</v>
      </c>
      <c r="D27" s="4">
        <v>10.0</v>
      </c>
      <c r="E27" s="4" t="s">
        <v>44</v>
      </c>
      <c r="F27" s="4" t="s">
        <v>45</v>
      </c>
      <c r="G27" s="9">
        <v>3650.0</v>
      </c>
    </row>
    <row r="28" ht="15.75" customHeight="1">
      <c r="A28" s="3" t="str">
        <f t="shared" si="1"/>
        <v>​I.V. Catheter No 20G - Healthcare</v>
      </c>
      <c r="B28" s="4">
        <v>8500.0</v>
      </c>
      <c r="C28" s="3" t="str">
        <f t="shared" si="2"/>
        <v>​I.V-HE-027</v>
      </c>
      <c r="D28" s="4">
        <v>10.0</v>
      </c>
      <c r="E28" s="4" t="s">
        <v>44</v>
      </c>
      <c r="F28" s="4" t="s">
        <v>46</v>
      </c>
      <c r="G28" s="9">
        <v>3650.0</v>
      </c>
    </row>
    <row r="29" ht="15.75" customHeight="1">
      <c r="A29" s="3" t="str">
        <f t="shared" si="1"/>
        <v>Infus set - Onehealth</v>
      </c>
      <c r="B29" s="4">
        <v>10000.0</v>
      </c>
      <c r="C29" s="3" t="str">
        <f t="shared" si="2"/>
        <v>INFU-ON-028</v>
      </c>
      <c r="D29" s="4">
        <v>10.0</v>
      </c>
      <c r="E29" s="4" t="s">
        <v>47</v>
      </c>
      <c r="F29" s="4" t="s">
        <v>48</v>
      </c>
      <c r="G29" s="9">
        <v>3000.0</v>
      </c>
    </row>
    <row r="30" ht="15.75" customHeight="1">
      <c r="A30" s="3" t="str">
        <f t="shared" si="1"/>
        <v>​Alcohol Pads - Avico</v>
      </c>
      <c r="B30" s="4">
        <v>15000.0</v>
      </c>
      <c r="C30" s="3" t="str">
        <f t="shared" si="2"/>
        <v>​ALC-AV-029</v>
      </c>
      <c r="D30" s="4">
        <v>10.0</v>
      </c>
      <c r="E30" s="4" t="s">
        <v>49</v>
      </c>
      <c r="F30" s="4" t="s">
        <v>50</v>
      </c>
      <c r="G30" s="9">
        <v>10000.0</v>
      </c>
    </row>
    <row r="31" ht="15.75" customHeight="1">
      <c r="A31" s="3" t="str">
        <f t="shared" si="1"/>
        <v>Plesterin bulat soft - Plesterin</v>
      </c>
      <c r="B31" s="4">
        <v>500.0</v>
      </c>
      <c r="C31" s="3" t="str">
        <f t="shared" si="2"/>
        <v>PLES-PL-030</v>
      </c>
      <c r="D31" s="4">
        <v>10.0</v>
      </c>
      <c r="E31" s="4" t="s">
        <v>51</v>
      </c>
      <c r="F31" s="4" t="s">
        <v>52</v>
      </c>
      <c r="G31" s="7">
        <v>37000.0</v>
      </c>
    </row>
    <row r="32" ht="15.75" customHeight="1">
      <c r="A32" s="3" t="str">
        <f t="shared" si="1"/>
        <v>Syringe 5 ml - Onehealth</v>
      </c>
      <c r="B32" s="4">
        <v>1000.0</v>
      </c>
      <c r="C32" s="3" t="str">
        <f t="shared" si="2"/>
        <v>SYRI-ON-031</v>
      </c>
      <c r="D32" s="4">
        <v>10.0</v>
      </c>
      <c r="E32" s="4" t="s">
        <v>47</v>
      </c>
      <c r="F32" s="4" t="s">
        <v>53</v>
      </c>
      <c r="G32" s="9">
        <v>650.0</v>
      </c>
    </row>
    <row r="33" ht="15.75" customHeight="1">
      <c r="A33" s="3" t="str">
        <f t="shared" si="1"/>
        <v>Syringe 3 ml - Onehealth</v>
      </c>
      <c r="B33" s="4">
        <v>1500.0</v>
      </c>
      <c r="C33" s="3" t="str">
        <f t="shared" si="2"/>
        <v>SYRI-ON-032</v>
      </c>
      <c r="D33" s="4">
        <v>10.0</v>
      </c>
      <c r="E33" s="4" t="s">
        <v>47</v>
      </c>
      <c r="F33" s="4" t="s">
        <v>54</v>
      </c>
      <c r="G33" s="9">
        <v>600.0</v>
      </c>
    </row>
    <row r="34" ht="15.75" customHeight="1">
      <c r="A34" s="3" t="str">
        <f t="shared" si="1"/>
        <v>Syringe 10 ml - Onehealth</v>
      </c>
      <c r="B34" s="4">
        <v>2000.0</v>
      </c>
      <c r="C34" s="3" t="str">
        <f t="shared" si="2"/>
        <v>SYRI-ON-033</v>
      </c>
      <c r="D34" s="4">
        <v>10.0</v>
      </c>
      <c r="E34" s="4" t="s">
        <v>47</v>
      </c>
      <c r="F34" s="4" t="s">
        <v>55</v>
      </c>
      <c r="G34" s="9">
        <v>1000.0</v>
      </c>
    </row>
    <row r="35" ht="15.75" customHeight="1">
      <c r="A35" s="3" t="str">
        <f t="shared" si="1"/>
        <v>Doble spike - Onemed</v>
      </c>
      <c r="B35" s="4">
        <v>5000.0</v>
      </c>
      <c r="C35" s="3" t="str">
        <f t="shared" si="2"/>
        <v>DOBL-ON-034</v>
      </c>
      <c r="D35" s="4">
        <v>10.0</v>
      </c>
      <c r="E35" s="4" t="s">
        <v>28</v>
      </c>
      <c r="F35" s="4" t="s">
        <v>56</v>
      </c>
      <c r="G35" s="9">
        <v>2500.0</v>
      </c>
    </row>
    <row r="36" ht="15.75" customHeight="1">
      <c r="A36" s="3" t="str">
        <f t="shared" si="1"/>
        <v>urin bag - Onemed</v>
      </c>
      <c r="B36" s="4">
        <v>15000.0</v>
      </c>
      <c r="C36" s="3" t="str">
        <f t="shared" si="2"/>
        <v>URIN-ON-035</v>
      </c>
      <c r="D36" s="4">
        <v>10.0</v>
      </c>
      <c r="E36" s="4" t="s">
        <v>28</v>
      </c>
      <c r="F36" s="4" t="s">
        <v>57</v>
      </c>
      <c r="G36" s="9">
        <v>5500.0</v>
      </c>
    </row>
    <row r="37" ht="15.75" customHeight="1">
      <c r="A37" s="3" t="str">
        <f t="shared" si="1"/>
        <v>Needle no 24 - Terumo</v>
      </c>
      <c r="B37" s="4">
        <v>1500.0</v>
      </c>
      <c r="C37" s="3" t="str">
        <f t="shared" si="2"/>
        <v>NEED-TE-036</v>
      </c>
      <c r="D37" s="4">
        <v>10.0</v>
      </c>
      <c r="E37" s="4" t="s">
        <v>58</v>
      </c>
      <c r="F37" s="4" t="s">
        <v>59</v>
      </c>
      <c r="G37" s="7">
        <v>600.0</v>
      </c>
    </row>
    <row r="38" ht="15.75" customHeight="1">
      <c r="A38" s="3" t="str">
        <f t="shared" si="1"/>
        <v>Stetoskop - Onemed</v>
      </c>
      <c r="B38" s="4">
        <v>45000.0</v>
      </c>
      <c r="C38" s="3" t="str">
        <f t="shared" si="2"/>
        <v>STET-ON-037</v>
      </c>
      <c r="D38" s="4">
        <v>10.0</v>
      </c>
      <c r="E38" s="4" t="s">
        <v>28</v>
      </c>
      <c r="F38" s="4" t="s">
        <v>60</v>
      </c>
      <c r="G38" s="4">
        <v>30000.0</v>
      </c>
    </row>
    <row r="39" ht="15.75" customHeight="1">
      <c r="A39" s="3" t="str">
        <f t="shared" si="1"/>
        <v>Tourniquet - Onemed</v>
      </c>
      <c r="B39" s="4">
        <v>15000.0</v>
      </c>
      <c r="C39" s="3" t="str">
        <f t="shared" si="2"/>
        <v>TOUR-ON-038</v>
      </c>
      <c r="D39" s="4">
        <v>10.0</v>
      </c>
      <c r="E39" s="4" t="s">
        <v>28</v>
      </c>
      <c r="F39" s="4" t="s">
        <v>61</v>
      </c>
      <c r="G39" s="4">
        <v>11000.0</v>
      </c>
    </row>
    <row r="40" ht="15.75" customHeight="1">
      <c r="A40" s="3" t="str">
        <f t="shared" si="1"/>
        <v>pispot - Onemed</v>
      </c>
      <c r="B40" s="4">
        <v>15000.0</v>
      </c>
      <c r="C40" s="3" t="str">
        <f t="shared" si="2"/>
        <v>PISP-ON-039</v>
      </c>
      <c r="D40" s="4">
        <v>10.0</v>
      </c>
      <c r="E40" s="4" t="s">
        <v>28</v>
      </c>
      <c r="F40" s="4" t="s">
        <v>62</v>
      </c>
      <c r="G40" s="4">
        <v>7000.0</v>
      </c>
    </row>
    <row r="41" ht="15.75" customHeight="1">
      <c r="A41" s="3" t="str">
        <f t="shared" si="1"/>
        <v>strip chole 10 - Easytouch</v>
      </c>
      <c r="B41" s="4">
        <v>190000.0</v>
      </c>
      <c r="C41" s="3" t="str">
        <f t="shared" si="2"/>
        <v>STRI-EA-040</v>
      </c>
      <c r="D41" s="4">
        <v>10.0</v>
      </c>
      <c r="E41" s="4" t="s">
        <v>63</v>
      </c>
      <c r="F41" s="4" t="s">
        <v>64</v>
      </c>
      <c r="G41" s="4">
        <v>160000.0</v>
      </c>
    </row>
    <row r="42" ht="15.75" customHeight="1">
      <c r="A42" s="3" t="str">
        <f t="shared" si="1"/>
        <v>alat penggerus - Onemed</v>
      </c>
      <c r="B42" s="4">
        <v>25000.0</v>
      </c>
      <c r="C42" s="3" t="str">
        <f t="shared" si="2"/>
        <v>ALAT-ON-041</v>
      </c>
      <c r="D42" s="4">
        <v>10.0</v>
      </c>
      <c r="E42" s="4" t="s">
        <v>28</v>
      </c>
      <c r="F42" s="4" t="s">
        <v>65</v>
      </c>
      <c r="G42" s="4">
        <v>20000.0</v>
      </c>
    </row>
    <row r="43" ht="15.75" customHeight="1">
      <c r="A43" s="3" t="str">
        <f t="shared" si="1"/>
        <v>Wash gloves - T-Towel</v>
      </c>
      <c r="B43" s="4">
        <v>15000.0</v>
      </c>
      <c r="C43" s="3" t="str">
        <f t="shared" si="2"/>
        <v>WASH-T--042</v>
      </c>
      <c r="D43" s="4">
        <v>10.0</v>
      </c>
      <c r="E43" s="4" t="s">
        <v>66</v>
      </c>
      <c r="F43" s="4" t="s">
        <v>67</v>
      </c>
      <c r="G43" s="4">
        <v>11000.0</v>
      </c>
    </row>
    <row r="44" ht="15.75" customHeight="1">
      <c r="A44" s="3" t="str">
        <f t="shared" si="1"/>
        <v>Alkohol 70% 100ml - Onemed</v>
      </c>
      <c r="B44" s="4">
        <v>10000.0</v>
      </c>
      <c r="C44" s="3" t="str">
        <f t="shared" si="2"/>
        <v>ALKO-ON-043</v>
      </c>
      <c r="D44" s="4">
        <v>10.0</v>
      </c>
      <c r="E44" s="4" t="s">
        <v>28</v>
      </c>
      <c r="F44" s="4" t="s">
        <v>27</v>
      </c>
      <c r="G44" s="4">
        <v>5000.0</v>
      </c>
    </row>
    <row r="45" ht="15.75" customHeight="1">
      <c r="A45" s="3" t="str">
        <f t="shared" si="1"/>
        <v>Tensimeter digital - Omron</v>
      </c>
      <c r="B45" s="4">
        <v>380000.0</v>
      </c>
      <c r="C45" s="3" t="str">
        <f t="shared" si="2"/>
        <v>TENS-OM-044</v>
      </c>
      <c r="D45" s="4">
        <v>10.0</v>
      </c>
      <c r="E45" s="4" t="s">
        <v>68</v>
      </c>
      <c r="F45" s="4" t="s">
        <v>22</v>
      </c>
      <c r="G45" s="4">
        <v>335000.0</v>
      </c>
    </row>
    <row r="46" ht="15.75" customHeight="1">
      <c r="A46" s="3" t="str">
        <f t="shared" si="1"/>
        <v>alkohol 70% 300ml - Onemed</v>
      </c>
      <c r="B46" s="4">
        <v>20000.0</v>
      </c>
      <c r="C46" s="3" t="str">
        <f t="shared" si="2"/>
        <v>ALKO-ON-045</v>
      </c>
      <c r="D46" s="4">
        <v>10.0</v>
      </c>
      <c r="E46" s="4" t="s">
        <v>28</v>
      </c>
      <c r="F46" s="4" t="s">
        <v>69</v>
      </c>
      <c r="G46" s="4">
        <v>11000.0</v>
      </c>
    </row>
    <row r="47" ht="15.75" customHeight="1">
      <c r="A47" s="3" t="str">
        <f t="shared" si="1"/>
        <v>Tensimeter digital - Omicron</v>
      </c>
      <c r="B47" s="4">
        <v>100000.0</v>
      </c>
      <c r="C47" s="3" t="str">
        <f t="shared" si="2"/>
        <v>TENS-OM-046</v>
      </c>
      <c r="D47" s="4">
        <v>10.0</v>
      </c>
      <c r="E47" s="4" t="s">
        <v>70</v>
      </c>
      <c r="F47" s="4" t="s">
        <v>22</v>
      </c>
      <c r="G47" s="4">
        <v>70000.0</v>
      </c>
    </row>
    <row r="48" ht="15.75" customHeight="1">
      <c r="A48" s="3" t="str">
        <f t="shared" si="1"/>
        <v>Strip glucosa 25 - sinoheart</v>
      </c>
      <c r="B48" s="4">
        <v>60000.0</v>
      </c>
      <c r="C48" s="3" t="str">
        <f t="shared" si="2"/>
        <v>STRI-SI-047</v>
      </c>
      <c r="D48" s="4">
        <v>10.0</v>
      </c>
      <c r="E48" s="4" t="s">
        <v>71</v>
      </c>
      <c r="F48" s="4" t="s">
        <v>72</v>
      </c>
      <c r="G48" s="4">
        <v>62000.0</v>
      </c>
    </row>
    <row r="49" ht="15.75" customHeight="1">
      <c r="A49" s="3" t="str">
        <f t="shared" si="1"/>
        <v>kasur decubitus - Onemed</v>
      </c>
      <c r="B49" s="4">
        <v>500000.0</v>
      </c>
      <c r="C49" s="3" t="str">
        <f t="shared" si="2"/>
        <v>KASU-ON-048</v>
      </c>
      <c r="D49" s="4">
        <v>10.0</v>
      </c>
      <c r="E49" s="4" t="s">
        <v>28</v>
      </c>
      <c r="F49" s="4" t="s">
        <v>73</v>
      </c>
      <c r="G49" s="4">
        <v>350000.0</v>
      </c>
    </row>
    <row r="50" ht="15.75" customHeight="1">
      <c r="A50" s="3" t="str">
        <f t="shared" si="1"/>
        <v>Alat stik 3 in 1 - Easytouch</v>
      </c>
      <c r="B50" s="4">
        <v>250000.0</v>
      </c>
      <c r="C50" s="3" t="str">
        <f t="shared" si="2"/>
        <v>ALAT-EA-049</v>
      </c>
      <c r="D50" s="4">
        <v>10.0</v>
      </c>
      <c r="E50" s="4" t="s">
        <v>63</v>
      </c>
      <c r="F50" s="4" t="s">
        <v>74</v>
      </c>
      <c r="G50" s="4">
        <v>229000.0</v>
      </c>
    </row>
    <row r="51" ht="15.75" customHeight="1">
      <c r="A51" s="3" t="str">
        <f t="shared" si="1"/>
        <v>Strip Asam urat 25 - Easytouch</v>
      </c>
      <c r="B51" s="4">
        <v>115000.0</v>
      </c>
      <c r="C51" s="3" t="str">
        <f t="shared" si="2"/>
        <v>STRI-EA-050</v>
      </c>
      <c r="D51" s="4">
        <v>10.0</v>
      </c>
      <c r="E51" s="4" t="s">
        <v>63</v>
      </c>
      <c r="F51" s="4" t="s">
        <v>75</v>
      </c>
      <c r="G51" s="4">
        <v>100000.0</v>
      </c>
    </row>
    <row r="52" ht="15.75" customHeight="1">
      <c r="A52" s="3" t="str">
        <f t="shared" si="1"/>
        <v>Tensimeter manual - Onemed</v>
      </c>
      <c r="B52" s="4">
        <v>100000.0</v>
      </c>
      <c r="C52" s="3" t="str">
        <f t="shared" si="2"/>
        <v>TENS-ON-051</v>
      </c>
      <c r="D52" s="4">
        <v>10.0</v>
      </c>
      <c r="E52" s="4" t="s">
        <v>28</v>
      </c>
      <c r="F52" s="4" t="s">
        <v>76</v>
      </c>
      <c r="G52" s="4">
        <v>90000.0</v>
      </c>
    </row>
    <row r="53" ht="15.75" customHeight="1">
      <c r="A53" s="3" t="str">
        <f t="shared" si="1"/>
        <v>Syringe 50cc LT - Onemed</v>
      </c>
      <c r="B53" s="4">
        <v>15000.0</v>
      </c>
      <c r="C53" s="3" t="str">
        <f t="shared" si="2"/>
        <v>SYRI-ON-052</v>
      </c>
      <c r="D53" s="4">
        <v>10.0</v>
      </c>
      <c r="E53" s="4" t="s">
        <v>28</v>
      </c>
      <c r="F53" s="4" t="s">
        <v>77</v>
      </c>
      <c r="G53" s="4">
        <v>6000.0</v>
      </c>
    </row>
    <row r="54" ht="15.75" customHeight="1">
      <c r="A54" s="3" t="str">
        <f t="shared" si="1"/>
        <v>urin bag - GEA</v>
      </c>
      <c r="B54" s="4">
        <v>10000.0</v>
      </c>
      <c r="C54" s="3" t="str">
        <f t="shared" si="2"/>
        <v>URIN-GE-053</v>
      </c>
      <c r="D54" s="4">
        <v>10.0</v>
      </c>
      <c r="E54" s="4" t="s">
        <v>31</v>
      </c>
      <c r="F54" s="4" t="s">
        <v>57</v>
      </c>
      <c r="G54" s="4">
        <v>7000.0</v>
      </c>
    </row>
    <row r="55" ht="15.75" customHeight="1">
      <c r="A55" s="3" t="str">
        <f t="shared" si="1"/>
        <v>Tensi + stetoskop - Onemed</v>
      </c>
      <c r="B55" s="4">
        <v>135000.0</v>
      </c>
      <c r="C55" s="3" t="str">
        <f t="shared" si="2"/>
        <v>TENS-ON-054</v>
      </c>
      <c r="D55" s="4">
        <v>10.0</v>
      </c>
      <c r="E55" s="4" t="s">
        <v>28</v>
      </c>
      <c r="F55" s="4" t="s">
        <v>78</v>
      </c>
      <c r="G55" s="4">
        <v>130000.0</v>
      </c>
    </row>
    <row r="56" ht="15.75" customHeight="1">
      <c r="A56" s="3" t="str">
        <f t="shared" si="1"/>
        <v>Arm Sling - GlowMed</v>
      </c>
      <c r="B56" s="4">
        <v>35000.0</v>
      </c>
      <c r="C56" s="3" t="str">
        <f t="shared" si="2"/>
        <v>ARM -GL-055</v>
      </c>
      <c r="D56" s="4">
        <v>10.0</v>
      </c>
      <c r="E56" s="4" t="s">
        <v>79</v>
      </c>
      <c r="F56" s="4" t="s">
        <v>80</v>
      </c>
      <c r="G56" s="4">
        <v>20000.0</v>
      </c>
    </row>
    <row r="57" ht="15.75" customHeight="1">
      <c r="A57" s="3" t="str">
        <f t="shared" si="1"/>
        <v>Wing needle - Onemed</v>
      </c>
      <c r="B57" s="4">
        <v>3000.0</v>
      </c>
      <c r="C57" s="3" t="str">
        <f t="shared" si="2"/>
        <v>WING-ON-056</v>
      </c>
      <c r="D57" s="4">
        <v>10.0</v>
      </c>
      <c r="E57" s="4" t="s">
        <v>28</v>
      </c>
      <c r="F57" s="4" t="s">
        <v>81</v>
      </c>
      <c r="G57" s="4">
        <v>1000.0</v>
      </c>
    </row>
    <row r="58" ht="15.75" customHeight="1">
      <c r="A58" s="3" t="str">
        <f t="shared" si="1"/>
        <v>Plester coklat - Chilli plast</v>
      </c>
      <c r="B58" s="4">
        <v>2000.0</v>
      </c>
      <c r="C58" s="3" t="str">
        <f t="shared" si="2"/>
        <v>PLES-CH-057</v>
      </c>
      <c r="D58" s="4">
        <v>10.0</v>
      </c>
      <c r="E58" s="4" t="s">
        <v>82</v>
      </c>
      <c r="F58" s="4" t="s">
        <v>83</v>
      </c>
      <c r="G58" s="4">
        <v>1000.0</v>
      </c>
    </row>
    <row r="59" ht="15.75" customHeight="1">
      <c r="A59" s="3" t="str">
        <f t="shared" si="1"/>
        <v>Tensimeter BW750 - Omicron</v>
      </c>
      <c r="B59" s="4">
        <v>120000.0</v>
      </c>
      <c r="C59" s="3" t="str">
        <f t="shared" si="2"/>
        <v>TENS-OM-058</v>
      </c>
      <c r="D59" s="4">
        <v>10.0</v>
      </c>
      <c r="E59" s="4" t="s">
        <v>70</v>
      </c>
      <c r="F59" s="4" t="s">
        <v>84</v>
      </c>
      <c r="G59" s="4">
        <v>85000.0</v>
      </c>
    </row>
    <row r="60" ht="15.75" customHeight="1">
      <c r="A60" s="3" t="str">
        <f t="shared" si="1"/>
        <v>Gel Jelly lubricant - Onemed</v>
      </c>
      <c r="B60" s="4">
        <v>35000.0</v>
      </c>
      <c r="C60" s="3" t="str">
        <f t="shared" si="2"/>
        <v>GEL -ON-059</v>
      </c>
      <c r="D60" s="4">
        <v>10.0</v>
      </c>
      <c r="E60" s="4" t="s">
        <v>28</v>
      </c>
      <c r="F60" s="4" t="s">
        <v>85</v>
      </c>
      <c r="G60" s="4">
        <v>28000.0</v>
      </c>
    </row>
    <row r="61" ht="15.75" customHeight="1">
      <c r="A61" s="3" t="str">
        <f t="shared" si="1"/>
        <v>Oximeter saturasi - Omicron</v>
      </c>
      <c r="B61" s="4">
        <v>140000.0</v>
      </c>
      <c r="C61" s="3" t="str">
        <f t="shared" si="2"/>
        <v>OXIM-OM-060</v>
      </c>
      <c r="D61" s="4">
        <v>10.0</v>
      </c>
      <c r="E61" s="4" t="s">
        <v>70</v>
      </c>
      <c r="F61" s="4" t="s">
        <v>86</v>
      </c>
      <c r="G61" s="4">
        <v>115000.0</v>
      </c>
    </row>
    <row r="62" ht="15.75" customHeight="1">
      <c r="A62" s="3" t="str">
        <f t="shared" si="1"/>
        <v>Tensimeter digital - iTrust BP 121</v>
      </c>
      <c r="B62" s="4">
        <v>140000.0</v>
      </c>
      <c r="C62" s="3" t="str">
        <f t="shared" si="2"/>
        <v>TENS-IT-061</v>
      </c>
      <c r="D62" s="4">
        <v>10.0</v>
      </c>
      <c r="E62" s="4" t="s">
        <v>87</v>
      </c>
      <c r="F62" s="4" t="s">
        <v>22</v>
      </c>
      <c r="G62" s="4">
        <v>100000.0</v>
      </c>
    </row>
    <row r="63" ht="15.75" customHeight="1">
      <c r="A63" s="3" t="str">
        <f t="shared" si="1"/>
        <v>Oximeter saturasi anak - Omicron</v>
      </c>
      <c r="B63" s="4">
        <v>60000.0</v>
      </c>
      <c r="C63" s="3" t="str">
        <f t="shared" si="2"/>
        <v>OXIM-OM-062</v>
      </c>
      <c r="D63" s="4">
        <v>10.0</v>
      </c>
      <c r="E63" s="4" t="s">
        <v>70</v>
      </c>
      <c r="F63" s="4" t="s">
        <v>88</v>
      </c>
      <c r="G63" s="4">
        <v>45000.0</v>
      </c>
    </row>
    <row r="64" ht="15.75" customHeight="1">
      <c r="A64" s="3" t="str">
        <f t="shared" si="1"/>
        <v>wash gloves 4 - onecleane</v>
      </c>
      <c r="B64" s="4">
        <v>15000.0</v>
      </c>
      <c r="C64" s="3" t="str">
        <f t="shared" si="2"/>
        <v>WASH-ON-063</v>
      </c>
      <c r="D64" s="4">
        <v>10.0</v>
      </c>
      <c r="E64" s="4" t="s">
        <v>89</v>
      </c>
      <c r="F64" s="4" t="s">
        <v>90</v>
      </c>
      <c r="G64" s="4">
        <v>10000.0</v>
      </c>
    </row>
    <row r="65" ht="15.75" customHeight="1">
      <c r="A65" s="3" t="str">
        <f t="shared" si="1"/>
        <v>Oximeter - LK88</v>
      </c>
      <c r="B65" s="4">
        <v>60000.0</v>
      </c>
      <c r="C65" s="3" t="str">
        <f t="shared" si="2"/>
        <v>OXIM-LK-064</v>
      </c>
      <c r="D65" s="4">
        <v>10.0</v>
      </c>
      <c r="E65" s="4" t="s">
        <v>91</v>
      </c>
      <c r="F65" s="4" t="s">
        <v>92</v>
      </c>
      <c r="G65" s="4">
        <v>23000.0</v>
      </c>
    </row>
    <row r="66" ht="15.75" customHeight="1">
      <c r="A66" s="3" t="str">
        <f t="shared" si="1"/>
        <v>Thermogun - GP 100</v>
      </c>
      <c r="B66" s="4">
        <v>55000.0</v>
      </c>
      <c r="C66" s="3" t="str">
        <f t="shared" si="2"/>
        <v>THER-GP-065</v>
      </c>
      <c r="D66" s="4">
        <v>10.0</v>
      </c>
      <c r="E66" s="4" t="s">
        <v>93</v>
      </c>
      <c r="F66" s="4" t="s">
        <v>94</v>
      </c>
      <c r="G66" s="4">
        <v>41000.0</v>
      </c>
    </row>
    <row r="67" ht="15.75" customHeight="1">
      <c r="A67" s="3" t="str">
        <f t="shared" si="1"/>
        <v>Tensimeter digital - Sinocare BA801</v>
      </c>
      <c r="B67" s="4">
        <v>250000.0</v>
      </c>
      <c r="C67" s="3" t="str">
        <f t="shared" si="2"/>
        <v>TENS-SI-066</v>
      </c>
      <c r="D67" s="4">
        <v>10.0</v>
      </c>
      <c r="E67" s="4" t="s">
        <v>95</v>
      </c>
      <c r="F67" s="4" t="s">
        <v>22</v>
      </c>
      <c r="G67" s="4">
        <v>20000.0</v>
      </c>
    </row>
    <row r="68" ht="15.75" customHeight="1">
      <c r="A68" s="3" t="str">
        <f t="shared" si="1"/>
        <v>Alat Cek Gula Darah - Sinocare 50</v>
      </c>
      <c r="B68" s="4">
        <v>150000.0</v>
      </c>
      <c r="C68" s="3" t="str">
        <f t="shared" si="2"/>
        <v>ALAT-SI-067</v>
      </c>
      <c r="D68" s="4">
        <v>10.0</v>
      </c>
      <c r="E68" s="4" t="s">
        <v>96</v>
      </c>
      <c r="F68" s="4" t="s">
        <v>97</v>
      </c>
      <c r="G68" s="4">
        <v>100000.0</v>
      </c>
    </row>
    <row r="69" ht="15.75" customHeight="1">
      <c r="A69" s="3" t="str">
        <f t="shared" si="1"/>
        <v>Tensimeter digital - Sinocare BSX 516</v>
      </c>
      <c r="B69" s="4">
        <v>200000.0</v>
      </c>
      <c r="C69" s="3" t="str">
        <f t="shared" si="2"/>
        <v>TENS-SI-068</v>
      </c>
      <c r="D69" s="4">
        <v>10.0</v>
      </c>
      <c r="E69" s="4" t="s">
        <v>98</v>
      </c>
      <c r="F69" s="4" t="s">
        <v>22</v>
      </c>
      <c r="G69" s="4">
        <v>180000.0</v>
      </c>
    </row>
    <row r="70" ht="15.75" customHeight="1">
      <c r="A70" s="3" t="str">
        <f t="shared" si="1"/>
        <v>Saturasi Oksigen - Omicron</v>
      </c>
      <c r="B70" s="4">
        <v>140000.0</v>
      </c>
      <c r="C70" s="3" t="str">
        <f t="shared" si="2"/>
        <v>SATU-OM-069</v>
      </c>
      <c r="D70" s="4">
        <v>10.0</v>
      </c>
      <c r="E70" s="4" t="s">
        <v>70</v>
      </c>
      <c r="F70" s="4" t="s">
        <v>99</v>
      </c>
      <c r="G70" s="4">
        <v>115000.0</v>
      </c>
    </row>
    <row r="71" ht="15.75" customHeight="1">
      <c r="A71" s="3" t="str">
        <f t="shared" si="1"/>
        <v>Saturasi Oksigen - GEA</v>
      </c>
      <c r="B71" s="4">
        <v>210000.0</v>
      </c>
      <c r="C71" s="3" t="str">
        <f t="shared" si="2"/>
        <v>SATU-GE-070</v>
      </c>
      <c r="D71" s="4">
        <v>2.0</v>
      </c>
      <c r="E71" s="4" t="s">
        <v>31</v>
      </c>
      <c r="F71" s="4" t="s">
        <v>99</v>
      </c>
      <c r="G71" s="4">
        <v>187000.0</v>
      </c>
    </row>
    <row r="72" ht="15.75" customHeight="1">
      <c r="A72" s="3" t="str">
        <f t="shared" si="1"/>
        <v>Sarung Tangan S - Safegloves </v>
      </c>
      <c r="B72" s="4">
        <v>60000.0</v>
      </c>
      <c r="C72" s="3" t="str">
        <f t="shared" si="2"/>
        <v>SARU-SA-071</v>
      </c>
      <c r="D72" s="4">
        <v>5.0</v>
      </c>
      <c r="E72" s="4" t="s">
        <v>18</v>
      </c>
      <c r="F72" s="4" t="s">
        <v>100</v>
      </c>
      <c r="G72" s="4">
        <v>45000.0</v>
      </c>
    </row>
    <row r="73" ht="15.75" customHeight="1">
      <c r="A73" s="3" t="str">
        <f t="shared" si="1"/>
        <v>Sarung Tangan L - Safegloves </v>
      </c>
      <c r="B73" s="4">
        <v>60000.0</v>
      </c>
      <c r="C73" s="3" t="str">
        <f t="shared" si="2"/>
        <v>SARU-SA-072</v>
      </c>
      <c r="D73" s="4">
        <v>5.0</v>
      </c>
      <c r="E73" s="4" t="s">
        <v>18</v>
      </c>
      <c r="F73" s="4" t="s">
        <v>101</v>
      </c>
      <c r="G73" s="4">
        <v>45000.0</v>
      </c>
    </row>
    <row r="74" ht="15.75" customHeight="1">
      <c r="A74" s="3" t="str">
        <f t="shared" si="1"/>
        <v>Sarung Tangan S - Nitril</v>
      </c>
      <c r="B74" s="4">
        <v>70000.0</v>
      </c>
      <c r="C74" s="3" t="str">
        <f t="shared" si="2"/>
        <v>SARU-NI-073</v>
      </c>
      <c r="D74" s="4">
        <v>5.0</v>
      </c>
      <c r="E74" s="4" t="s">
        <v>102</v>
      </c>
      <c r="F74" s="4" t="s">
        <v>100</v>
      </c>
      <c r="G74" s="4">
        <v>60000.0</v>
      </c>
    </row>
    <row r="75" ht="15.75" customHeight="1">
      <c r="A75" s="3" t="str">
        <f t="shared" si="1"/>
        <v>Sarung Tangan L - Nitril</v>
      </c>
      <c r="B75" s="4">
        <v>70000.0</v>
      </c>
      <c r="C75" s="3" t="str">
        <f t="shared" si="2"/>
        <v>SARU-NI-074</v>
      </c>
      <c r="D75" s="4">
        <v>5.0</v>
      </c>
      <c r="E75" s="4" t="s">
        <v>102</v>
      </c>
      <c r="F75" s="4" t="s">
        <v>101</v>
      </c>
      <c r="G75" s="4">
        <v>60000.0</v>
      </c>
    </row>
    <row r="76" ht="15.75" customHeight="1">
      <c r="A76" s="3" t="str">
        <f t="shared" si="1"/>
        <v>Sarung Tangan M - Nitril</v>
      </c>
      <c r="B76" s="4">
        <v>70000.0</v>
      </c>
      <c r="C76" s="3" t="str">
        <f t="shared" si="2"/>
        <v>SARU-NI-075</v>
      </c>
      <c r="E76" s="4" t="s">
        <v>102</v>
      </c>
      <c r="F76" s="4" t="s">
        <v>19</v>
      </c>
      <c r="G76" s="4">
        <v>60000.0</v>
      </c>
    </row>
    <row r="77" ht="15.75" customHeight="1">
      <c r="A77" s="3" t="str">
        <f t="shared" si="1"/>
        <v>Tensimeter BW750 - -</v>
      </c>
      <c r="B77" s="4">
        <v>120000.0</v>
      </c>
      <c r="C77" s="3" t="str">
        <f t="shared" si="2"/>
        <v>TENS---076</v>
      </c>
      <c r="D77" s="4">
        <v>10.0</v>
      </c>
      <c r="E77" s="4" t="s">
        <v>103</v>
      </c>
      <c r="F77" s="4" t="s">
        <v>84</v>
      </c>
      <c r="G77" s="4">
        <v>85000.0</v>
      </c>
    </row>
    <row r="78" ht="15.75" customHeight="1">
      <c r="A78" s="3" t="str">
        <f t="shared" si="1"/>
        <v>GCU 3 in 1 - Nesco</v>
      </c>
      <c r="B78" s="4">
        <v>300000.0</v>
      </c>
      <c r="C78" s="3" t="str">
        <f t="shared" si="2"/>
        <v>GCU -NE-077</v>
      </c>
      <c r="D78" s="4">
        <v>2.0</v>
      </c>
      <c r="E78" s="4" t="s">
        <v>104</v>
      </c>
      <c r="F78" s="4" t="s">
        <v>105</v>
      </c>
      <c r="G78" s="4">
        <v>240000.0</v>
      </c>
    </row>
    <row r="79" ht="15.75" customHeight="1">
      <c r="A79" s="3" t="str">
        <f t="shared" si="1"/>
        <v>Strip Glucosa 25 - Nesco</v>
      </c>
      <c r="B79" s="4">
        <v>120000.0</v>
      </c>
      <c r="C79" s="3" t="str">
        <f t="shared" si="2"/>
        <v>STRI-NE-078</v>
      </c>
      <c r="D79" s="4">
        <v>2.0</v>
      </c>
      <c r="E79" s="4" t="s">
        <v>104</v>
      </c>
      <c r="F79" s="4" t="s">
        <v>106</v>
      </c>
      <c r="G79" s="4">
        <v>100000.0</v>
      </c>
    </row>
    <row r="80" ht="15.75" customHeight="1">
      <c r="A80" s="3" t="str">
        <f t="shared" si="1"/>
        <v>Strip Asam Urat 25 - Nesco</v>
      </c>
      <c r="B80" s="4">
        <v>115000.0</v>
      </c>
      <c r="C80" s="3" t="str">
        <f t="shared" si="2"/>
        <v>STRI-NE-079</v>
      </c>
      <c r="D80" s="4">
        <v>2.0</v>
      </c>
      <c r="E80" s="4" t="s">
        <v>104</v>
      </c>
      <c r="F80" s="4" t="s">
        <v>107</v>
      </c>
      <c r="G80" s="4">
        <v>100000.0</v>
      </c>
    </row>
    <row r="81" ht="15.75" customHeight="1">
      <c r="A81" s="3" t="str">
        <f t="shared" si="1"/>
        <v>Strip Chole 10 - Nesco</v>
      </c>
      <c r="B81" s="4">
        <v>200000.0</v>
      </c>
      <c r="C81" s="3" t="str">
        <f t="shared" si="2"/>
        <v>STRI-NE-080</v>
      </c>
      <c r="D81" s="4">
        <v>2.0</v>
      </c>
      <c r="E81" s="4" t="s">
        <v>104</v>
      </c>
      <c r="F81" s="4" t="s">
        <v>108</v>
      </c>
      <c r="G81" s="4">
        <v>190000.0</v>
      </c>
    </row>
    <row r="82" ht="15.75" customHeight="1">
      <c r="A82" s="3" t="str">
        <f t="shared" si="1"/>
        <v>Strip Glucosa 25 - Easytouch</v>
      </c>
      <c r="B82" s="4">
        <v>120000.0</v>
      </c>
      <c r="C82" s="3" t="str">
        <f t="shared" si="2"/>
        <v>STRI-EA-081</v>
      </c>
      <c r="D82" s="4">
        <v>2.0</v>
      </c>
      <c r="E82" s="4" t="s">
        <v>63</v>
      </c>
      <c r="F82" s="4" t="s">
        <v>106</v>
      </c>
      <c r="G82" s="4">
        <v>100000.0</v>
      </c>
    </row>
    <row r="83" ht="15.75" customHeight="1">
      <c r="A83" s="3" t="str">
        <f t="shared" si="1"/>
        <v>Reflex hummer - General care</v>
      </c>
      <c r="B83" s="4">
        <v>35000.0</v>
      </c>
      <c r="C83" s="3" t="str">
        <f t="shared" si="2"/>
        <v>REFL-GE-082</v>
      </c>
      <c r="D83" s="4">
        <v>2.0</v>
      </c>
      <c r="E83" s="4" t="s">
        <v>109</v>
      </c>
      <c r="F83" s="4" t="s">
        <v>110</v>
      </c>
      <c r="G83" s="4">
        <v>25000.0</v>
      </c>
    </row>
    <row r="84" ht="15.75" customHeight="1">
      <c r="A84" s="3" t="str">
        <f t="shared" si="1"/>
        <v>Penlight - Puremed</v>
      </c>
      <c r="B84" s="4">
        <v>55000.0</v>
      </c>
      <c r="C84" s="3" t="str">
        <f t="shared" si="2"/>
        <v>PENL-PU-083</v>
      </c>
      <c r="D84" s="4">
        <v>2.0</v>
      </c>
      <c r="E84" s="4" t="s">
        <v>111</v>
      </c>
      <c r="F84" s="4" t="s">
        <v>112</v>
      </c>
      <c r="G84" s="4">
        <v>35000.0</v>
      </c>
    </row>
    <row r="85" ht="15.75" customHeight="1">
      <c r="A85" s="3" t="str">
        <f t="shared" si="1"/>
        <v>Nurse cap - </v>
      </c>
      <c r="B85" s="4">
        <v>35000.0</v>
      </c>
      <c r="C85" s="3" t="str">
        <f t="shared" si="2"/>
        <v>NURS--084</v>
      </c>
      <c r="D85" s="4">
        <v>3.0</v>
      </c>
      <c r="F85" s="4" t="s">
        <v>113</v>
      </c>
      <c r="G85" s="4">
        <v>25000.0</v>
      </c>
    </row>
    <row r="86" ht="15.75" customHeight="1">
      <c r="A86" s="3" t="str">
        <f t="shared" si="1"/>
        <v>Headcup 10 - onemed</v>
      </c>
      <c r="B86" s="4">
        <v>10000.0</v>
      </c>
      <c r="C86" s="3" t="str">
        <f t="shared" si="2"/>
        <v>HEAD-ON-085</v>
      </c>
      <c r="D86" s="4">
        <v>3.0</v>
      </c>
      <c r="E86" s="4" t="s">
        <v>12</v>
      </c>
      <c r="F86" s="4" t="s">
        <v>114</v>
      </c>
      <c r="G86" s="4">
        <v>3600.0</v>
      </c>
    </row>
    <row r="87" ht="15.75" customHeight="1">
      <c r="A87" s="3" t="str">
        <f t="shared" si="1"/>
        <v>Apron 4 - CLMK</v>
      </c>
      <c r="B87" s="4">
        <v>10000.0</v>
      </c>
      <c r="C87" s="3" t="str">
        <f t="shared" si="2"/>
        <v>APRO-CL-086</v>
      </c>
      <c r="D87" s="4">
        <v>3.0</v>
      </c>
      <c r="E87" s="4" t="s">
        <v>115</v>
      </c>
      <c r="F87" s="4" t="s">
        <v>116</v>
      </c>
      <c r="G87" s="4">
        <v>6400.0</v>
      </c>
    </row>
    <row r="88" ht="15.75" customHeight="1">
      <c r="A88" s="3" t="str">
        <f t="shared" si="1"/>
        <v>Apron - CLMK</v>
      </c>
      <c r="B88" s="4">
        <v>2500.0</v>
      </c>
      <c r="C88" s="3" t="str">
        <f t="shared" si="2"/>
        <v>APRO-CL-087</v>
      </c>
      <c r="D88" s="4">
        <v>50.0</v>
      </c>
      <c r="E88" s="4" t="s">
        <v>115</v>
      </c>
      <c r="F88" s="4" t="s">
        <v>117</v>
      </c>
      <c r="G88" s="4">
        <v>2500.0</v>
      </c>
    </row>
    <row r="89" ht="15.75" customHeight="1">
      <c r="A89" s="3" t="str">
        <f t="shared" si="1"/>
        <v>Masker Anak Putih 50 - ALKINDO</v>
      </c>
      <c r="B89" s="4">
        <v>20000.0</v>
      </c>
      <c r="C89" s="3" t="str">
        <f t="shared" si="2"/>
        <v>MASK-AL-088</v>
      </c>
      <c r="D89" s="4">
        <v>5.0</v>
      </c>
      <c r="E89" s="4" t="s">
        <v>118</v>
      </c>
      <c r="F89" s="4" t="s">
        <v>119</v>
      </c>
      <c r="G89" s="4">
        <v>15000.0</v>
      </c>
    </row>
    <row r="90" ht="15.75" customHeight="1">
      <c r="A90" s="3" t="str">
        <f t="shared" si="1"/>
        <v>Masker Anak Hitam 50 - ALKINDO</v>
      </c>
      <c r="B90" s="4">
        <v>20000.0</v>
      </c>
      <c r="C90" s="3" t="str">
        <f t="shared" si="2"/>
        <v>MASK-AL-089</v>
      </c>
      <c r="D90" s="4">
        <v>5.0</v>
      </c>
      <c r="E90" s="4" t="s">
        <v>118</v>
      </c>
      <c r="F90" s="4" t="s">
        <v>120</v>
      </c>
      <c r="G90" s="4">
        <v>15000.0</v>
      </c>
    </row>
    <row r="91" ht="15.75" customHeight="1">
      <c r="A91" s="3" t="str">
        <f t="shared" si="1"/>
        <v>Duckbil Hijab Hitam 50 - Face Mask</v>
      </c>
      <c r="B91" s="4">
        <v>25000.0</v>
      </c>
      <c r="C91" s="3" t="str">
        <f t="shared" si="2"/>
        <v>DUCK-FA-090</v>
      </c>
      <c r="D91" s="4">
        <v>5.0</v>
      </c>
      <c r="E91" s="4" t="s">
        <v>121</v>
      </c>
      <c r="F91" s="4" t="s">
        <v>122</v>
      </c>
      <c r="G91" s="4">
        <v>15000.0</v>
      </c>
    </row>
    <row r="92" ht="15.75" customHeight="1">
      <c r="A92" s="3" t="str">
        <f t="shared" si="1"/>
        <v>Duckbil Hijab Putih 50 - Face Mask</v>
      </c>
      <c r="B92" s="4">
        <v>25000.0</v>
      </c>
      <c r="C92" s="3" t="str">
        <f t="shared" si="2"/>
        <v>DUCK-FA-091</v>
      </c>
      <c r="D92" s="4">
        <v>5.0</v>
      </c>
      <c r="E92" s="4" t="s">
        <v>121</v>
      </c>
      <c r="F92" s="4" t="s">
        <v>123</v>
      </c>
      <c r="G92" s="4">
        <v>15000.0</v>
      </c>
    </row>
    <row r="93" ht="15.75" customHeight="1">
      <c r="A93" s="3" t="str">
        <f t="shared" si="1"/>
        <v>Earloop Putih - Mouson</v>
      </c>
      <c r="B93" s="4">
        <v>20000.0</v>
      </c>
      <c r="C93" s="3" t="str">
        <f t="shared" si="2"/>
        <v>EARL-MO-092</v>
      </c>
      <c r="D93" s="4">
        <v>5.0</v>
      </c>
      <c r="E93" s="4" t="s">
        <v>124</v>
      </c>
      <c r="F93" s="4" t="s">
        <v>125</v>
      </c>
      <c r="G93" s="4">
        <v>15000.0</v>
      </c>
    </row>
    <row r="94" ht="15.75" customHeight="1">
      <c r="A94" s="3" t="str">
        <f t="shared" si="1"/>
        <v>Earloop Mix Warna - Mouson</v>
      </c>
      <c r="B94" s="4">
        <v>25000.0</v>
      </c>
      <c r="C94" s="3" t="str">
        <f t="shared" si="2"/>
        <v>EARL-MO-093</v>
      </c>
      <c r="D94" s="4">
        <v>5.0</v>
      </c>
      <c r="E94" s="4" t="s">
        <v>124</v>
      </c>
      <c r="F94" s="4" t="s">
        <v>126</v>
      </c>
      <c r="G94" s="4">
        <v>15000.0</v>
      </c>
    </row>
    <row r="95" ht="15.75" customHeight="1">
      <c r="A95" s="3" t="str">
        <f t="shared" si="1"/>
        <v>Kompres Panas Dingin - </v>
      </c>
      <c r="B95" s="4">
        <v>35000.0</v>
      </c>
      <c r="C95" s="3" t="str">
        <f t="shared" si="2"/>
        <v>KOMP--094</v>
      </c>
      <c r="D95" s="4">
        <v>2.0</v>
      </c>
      <c r="F95" s="4" t="s">
        <v>127</v>
      </c>
      <c r="G95" s="4">
        <v>25000.0</v>
      </c>
    </row>
    <row r="96" ht="15.75" customHeight="1">
      <c r="A96" s="3" t="str">
        <f t="shared" si="1"/>
        <v>Perlak 10 - Onemed</v>
      </c>
      <c r="B96" s="4">
        <v>40000.0</v>
      </c>
      <c r="C96" s="3" t="str">
        <f t="shared" si="2"/>
        <v>PERL-ON-095</v>
      </c>
      <c r="D96" s="4">
        <v>5.0</v>
      </c>
      <c r="E96" s="4" t="s">
        <v>28</v>
      </c>
      <c r="F96" s="4" t="s">
        <v>128</v>
      </c>
      <c r="G96" s="4">
        <v>30000.0</v>
      </c>
    </row>
    <row r="97" ht="15.75" customHeight="1">
      <c r="A97" s="3" t="str">
        <f t="shared" si="1"/>
        <v>Tas Nursing/Medical kit Pink - AlkesPky</v>
      </c>
      <c r="B97" s="4">
        <v>25000.0</v>
      </c>
      <c r="C97" s="3" t="str">
        <f t="shared" si="2"/>
        <v>TAS -AL-096</v>
      </c>
      <c r="D97" s="4">
        <v>5.0</v>
      </c>
      <c r="E97" s="4" t="s">
        <v>129</v>
      </c>
      <c r="F97" s="4" t="s">
        <v>130</v>
      </c>
      <c r="G97" s="4">
        <v>15000.0</v>
      </c>
    </row>
    <row r="98" ht="15.75" customHeight="1">
      <c r="A98" s="3" t="str">
        <f t="shared" si="1"/>
        <v>Tas Nursing/Medical kit Hitam - AlkesPky</v>
      </c>
      <c r="B98" s="4">
        <v>25000.0</v>
      </c>
      <c r="C98" s="3" t="str">
        <f t="shared" si="2"/>
        <v>TAS -AL-097</v>
      </c>
      <c r="D98" s="4">
        <v>5.0</v>
      </c>
      <c r="E98" s="4" t="s">
        <v>129</v>
      </c>
      <c r="F98" s="4" t="s">
        <v>131</v>
      </c>
      <c r="G98" s="4">
        <v>15000.0</v>
      </c>
    </row>
    <row r="99" ht="15.75" customHeight="1">
      <c r="A99" s="3" t="str">
        <f t="shared" si="1"/>
        <v>Tas Nursing/Medical kit Merah  - AlkesPky</v>
      </c>
      <c r="B99" s="4">
        <v>25000.0</v>
      </c>
      <c r="C99" s="3" t="str">
        <f t="shared" si="2"/>
        <v>TAS -AL-098</v>
      </c>
      <c r="D99" s="4">
        <v>5.0</v>
      </c>
      <c r="E99" s="4" t="s">
        <v>129</v>
      </c>
      <c r="F99" s="4" t="s">
        <v>132</v>
      </c>
      <c r="G99" s="4">
        <v>15000.0</v>
      </c>
    </row>
    <row r="100" ht="15.75" customHeight="1">
      <c r="A100" s="3" t="str">
        <f t="shared" si="1"/>
        <v>Tas Nursing/Medical kit Abu - AlkesPky</v>
      </c>
      <c r="B100" s="4">
        <v>25000.0</v>
      </c>
      <c r="C100" s="3" t="str">
        <f t="shared" si="2"/>
        <v>TAS -AL-099</v>
      </c>
      <c r="D100" s="4">
        <v>5.0</v>
      </c>
      <c r="E100" s="4" t="s">
        <v>129</v>
      </c>
      <c r="F100" s="4" t="s">
        <v>133</v>
      </c>
      <c r="G100" s="4">
        <v>15000.0</v>
      </c>
    </row>
    <row r="101" ht="15.75" customHeight="1">
      <c r="A101" s="3" t="str">
        <f t="shared" si="1"/>
        <v>Tas Nursing/Medical kit Biru - AlkesPky</v>
      </c>
      <c r="B101" s="4">
        <v>25000.0</v>
      </c>
      <c r="C101" s="3" t="str">
        <f t="shared" si="2"/>
        <v>TAS -AL-100</v>
      </c>
      <c r="D101" s="4">
        <v>5.0</v>
      </c>
      <c r="E101" s="4" t="s">
        <v>129</v>
      </c>
      <c r="F101" s="4" t="s">
        <v>134</v>
      </c>
      <c r="G101" s="4">
        <v>15000.0</v>
      </c>
    </row>
    <row r="102" ht="15.75" customHeight="1">
      <c r="A102" s="3" t="str">
        <f t="shared" si="1"/>
        <v>Baterai AA - </v>
      </c>
      <c r="B102" s="4">
        <v>4000.0</v>
      </c>
      <c r="C102" s="3" t="str">
        <f t="shared" si="2"/>
        <v>BATE--101</v>
      </c>
      <c r="D102" s="4">
        <v>5.0</v>
      </c>
      <c r="F102" s="4" t="s">
        <v>135</v>
      </c>
      <c r="G102" s="4">
        <v>2000.0</v>
      </c>
    </row>
    <row r="103" ht="15.75" customHeight="1">
      <c r="A103" s="3" t="str">
        <f t="shared" si="1"/>
        <v>Baterai AAA - </v>
      </c>
      <c r="B103" s="4">
        <v>4000.0</v>
      </c>
      <c r="C103" s="3" t="str">
        <f t="shared" si="2"/>
        <v>BATE--102</v>
      </c>
      <c r="D103" s="4">
        <v>5.0</v>
      </c>
      <c r="F103" s="4" t="s">
        <v>136</v>
      </c>
      <c r="G103" s="4">
        <v>2000.0</v>
      </c>
    </row>
    <row r="104" ht="15.75" customHeight="1">
      <c r="A104" s="3" t="str">
        <f t="shared" si="1"/>
        <v>Thermometer digital - Omron</v>
      </c>
      <c r="B104" s="4">
        <v>90000.0</v>
      </c>
      <c r="C104" s="3" t="str">
        <f t="shared" si="2"/>
        <v>THER-OM-103</v>
      </c>
      <c r="D104" s="4">
        <v>5.0</v>
      </c>
      <c r="E104" s="4" t="s">
        <v>68</v>
      </c>
      <c r="F104" s="4" t="s">
        <v>137</v>
      </c>
      <c r="G104" s="4">
        <v>70000.0</v>
      </c>
    </row>
    <row r="105" ht="15.75" customHeight="1">
      <c r="A105" s="3" t="str">
        <f t="shared" si="1"/>
        <v>Saturasi A2 - </v>
      </c>
      <c r="B105" s="4">
        <v>70000.0</v>
      </c>
      <c r="C105" s="3" t="str">
        <f t="shared" si="2"/>
        <v>SATU--104</v>
      </c>
      <c r="D105" s="4">
        <v>2.0</v>
      </c>
      <c r="F105" s="4" t="s">
        <v>138</v>
      </c>
      <c r="G105" s="4">
        <v>40000.0</v>
      </c>
    </row>
    <row r="106" ht="15.75" customHeight="1">
      <c r="A106" s="3" t="str">
        <f t="shared" si="1"/>
        <v>Saturasi rechargable - </v>
      </c>
      <c r="B106" s="4">
        <v>100000.0</v>
      </c>
      <c r="C106" s="3" t="str">
        <f t="shared" si="2"/>
        <v>SATU--105</v>
      </c>
      <c r="D106" s="4">
        <v>2.0</v>
      </c>
      <c r="F106" s="4" t="s">
        <v>139</v>
      </c>
      <c r="G106" s="4">
        <v>70000.0</v>
      </c>
    </row>
    <row r="107" ht="15.75" customHeight="1">
      <c r="A107" s="3" t="str">
        <f t="shared" si="1"/>
        <v>Termometer digital Alpha 2 - Thermoone</v>
      </c>
      <c r="B107" s="4">
        <v>25000.0</v>
      </c>
      <c r="C107" s="3" t="str">
        <f t="shared" si="2"/>
        <v>TERM-TH-106</v>
      </c>
      <c r="D107" s="4">
        <v>2.0</v>
      </c>
      <c r="E107" s="4" t="s">
        <v>8</v>
      </c>
      <c r="F107" s="5" t="s">
        <v>140</v>
      </c>
      <c r="G107" s="4">
        <v>15000.0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